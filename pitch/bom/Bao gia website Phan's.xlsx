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>
    <definedName name="_xlnm.Print_Titles" localSheetId="0">'BOM'!11:11</definedName>
    <definedName name="_xlnm.Print_Area" localSheetId="0">'BOM'!$A$1:$E$60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₫&quot;"/>
    <numFmt numFmtId="165" formatCode="0.0"/>
    <numFmt numFmtId="166" formatCode="0.0&quot; MD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000000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375623"/>
      <sz val="9"/>
    </font>
    <font>
      <name val="Arial"/>
      <color rgb="00404040"/>
      <sz val="9"/>
    </font>
    <font>
      <name val="Arial"/>
      <b val="1"/>
      <color rgb="00833C0C"/>
      <sz val="9"/>
    </font>
    <font>
      <name val="Arial"/>
      <b val="1"/>
      <color rgb="001F3864"/>
      <sz val="10"/>
    </font>
    <font>
      <name val="Arial"/>
      <b val="1"/>
      <color rgb="001F3864"/>
      <sz val="12"/>
    </font>
    <font>
      <name val="Arial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F0F7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164" fontId="2" fillId="0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/>
    </xf>
    <xf numFmtId="0" fontId="0" fillId="2" borderId="1" pivotButton="0" quotePrefix="0" xfId="0"/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horizontal="center" vertical="top"/>
    </xf>
    <xf numFmtId="164" fontId="4" fillId="0" borderId="1" applyAlignment="1" pivotButton="0" quotePrefix="0" xfId="0">
      <alignment horizontal="right" vertical="top"/>
    </xf>
    <xf numFmtId="164" fontId="3" fillId="0" borderId="1" applyAlignment="1" pivotButton="0" quotePrefix="0" xfId="0">
      <alignment horizontal="right" vertical="top"/>
    </xf>
    <xf numFmtId="0" fontId="0" fillId="3" borderId="1" pivotButton="0" quotePrefix="0" xfId="0"/>
    <xf numFmtId="0" fontId="8" fillId="3" borderId="1" applyAlignment="1" pivotButton="0" quotePrefix="0" xfId="0">
      <alignment vertical="top" wrapText="1" indent="1"/>
    </xf>
    <xf numFmtId="0" fontId="0" fillId="0" borderId="1" pivotButton="0" quotePrefix="0" xfId="0"/>
    <xf numFmtId="0" fontId="9" fillId="0" borderId="1" applyAlignment="1" pivotButton="0" quotePrefix="0" xfId="0">
      <alignment vertical="top" wrapText="1" indent="1"/>
    </xf>
    <xf numFmtId="0" fontId="0" fillId="4" borderId="1" pivotButton="0" quotePrefix="0" xfId="0"/>
    <xf numFmtId="0" fontId="10" fillId="4" borderId="1" applyAlignment="1" pivotButton="0" quotePrefix="0" xfId="0">
      <alignment vertical="top" wrapText="1" indent="1"/>
    </xf>
    <xf numFmtId="0" fontId="3" fillId="5" borderId="1" applyAlignment="1" pivotButton="0" quotePrefix="0" xfId="0">
      <alignment horizontal="right"/>
    </xf>
    <xf numFmtId="0" fontId="0" fillId="5" borderId="1" pivotButton="0" quotePrefix="0" xfId="0"/>
    <xf numFmtId="165" fontId="3" fillId="5" borderId="1" applyAlignment="1" pivotButton="0" quotePrefix="0" xfId="0">
      <alignment horizontal="center"/>
    </xf>
    <xf numFmtId="164" fontId="3" fillId="5" borderId="1" applyAlignment="1" pivotButton="0" quotePrefix="0" xfId="0">
      <alignment horizontal="right"/>
    </xf>
    <xf numFmtId="0" fontId="11" fillId="5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4" fillId="6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right" vertical="center"/>
    </xf>
    <xf numFmtId="164" fontId="12" fillId="5" borderId="1" applyAlignment="1" pivotButton="0" quotePrefix="0" xfId="0">
      <alignment horizontal="right" vertical="center"/>
    </xf>
    <xf numFmtId="0" fontId="13" fillId="0" borderId="0" applyAlignment="1" pivotButton="0" quotePrefix="0" xfId="0">
      <alignment vertical="top" wrapText="1"/>
    </xf>
    <xf numFmtId="0" fontId="11" fillId="7" borderId="1" pivotButton="0" quotePrefix="0" xfId="0"/>
    <xf numFmtId="0" fontId="0" fillId="7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0"/>
  <sheetViews>
    <sheetView workbookViewId="0">
      <selection activeCell="A1" sqref="A1"/>
    </sheetView>
  </sheetViews>
  <sheetFormatPr baseColWidth="8" defaultRowHeight="15"/>
  <cols>
    <col width="15" customWidth="1" min="1" max="1"/>
    <col width="62" customWidth="1" min="2" max="2"/>
    <col width="9" customWidth="1" min="3" max="3"/>
    <col width="14" customWidth="1" min="4" max="4"/>
    <col width="16" customWidth="1" min="5" max="5"/>
  </cols>
  <sheetData>
    <row r="1" ht="26" customHeight="1">
      <c r="A1" s="1" t="inlineStr">
        <is>
          <t>THEWEBXITE — BẢNG BÁO GIÁ</t>
        </is>
      </c>
    </row>
    <row r="2" ht="20" customHeight="1">
      <c r="A2" s="2" t="inlineStr">
        <is>
          <t>Website Phan's Custom Tailor (giai đoạn 1)</t>
        </is>
      </c>
    </row>
    <row r="4">
      <c r="A4" s="3" t="inlineStr">
        <is>
          <t>Ngày</t>
        </is>
      </c>
      <c r="B4" s="4" t="inlineStr">
        <is>
          <t>23/10/2026</t>
        </is>
      </c>
    </row>
    <row r="5">
      <c r="A5" s="3" t="inlineStr">
        <is>
          <t>Khách hàng</t>
        </is>
      </c>
      <c r="B5" s="4" t="inlineStr">
        <is>
          <t>Phan's Custom Tailor (anh Phan Thịnh, chị Phan Thương)</t>
        </is>
      </c>
    </row>
    <row r="6">
      <c r="A6" s="3" t="inlineStr">
        <is>
          <t>Dự án</t>
        </is>
      </c>
      <c r="B6" s="4" t="inlineStr">
        <is>
          <t>Hoàn thiện bản mẫu thành website chính thức ba ngôn ngữ, có tích hợp phòng thử đồ AI</t>
        </is>
      </c>
    </row>
    <row r="7">
      <c r="A7" s="3" t="inlineStr">
        <is>
          <t>Người lập</t>
        </is>
      </c>
      <c r="B7" s="4" t="inlineStr">
        <is>
          <t>Xin, TheWebxite</t>
        </is>
      </c>
    </row>
    <row r="9">
      <c r="A9" s="3" t="inlineStr">
        <is>
          <t>ĐƠN GIÁ</t>
        </is>
      </c>
      <c r="B9" s="5" t="inlineStr">
        <is>
          <t>Đơn giá một ngày công</t>
        </is>
      </c>
      <c r="D9" s="6" t="n">
        <v>3000000</v>
      </c>
    </row>
    <row r="11" ht="20" customHeight="1">
      <c r="A11" s="7" t="inlineStr">
        <is>
          <t>STT</t>
        </is>
      </c>
      <c r="B11" s="7" t="inlineStr">
        <is>
          <t>Hạng mục</t>
        </is>
      </c>
      <c r="C11" s="7" t="inlineStr">
        <is>
          <t>Ngày công</t>
        </is>
      </c>
      <c r="D11" s="7" t="inlineStr">
        <is>
          <t>Đơn giá</t>
        </is>
      </c>
      <c r="E11" s="7" t="inlineStr">
        <is>
          <t>Thành tiền</t>
        </is>
      </c>
    </row>
    <row r="12" ht="22" customHeight="1">
      <c r="A12" s="8" t="inlineStr">
        <is>
          <t>GIAI ĐOẠN 1 — WEBSITE CHÍNH THỨC</t>
        </is>
      </c>
      <c r="B12" s="36" t="n"/>
      <c r="C12" s="36" t="n"/>
      <c r="D12" s="36" t="n"/>
      <c r="E12" s="37" t="n"/>
    </row>
    <row r="13">
      <c r="A13" s="10" t="n">
        <v>1</v>
      </c>
      <c r="B13" s="11" t="inlineStr">
        <is>
          <t>Thiết kế và xây dựng bản mẫu ba ngôn ngữ (đã hoàn thành)</t>
        </is>
      </c>
      <c r="C13" s="12" t="n">
        <v>0</v>
      </c>
      <c r="D13" s="13" t="inlineStr"/>
      <c r="E13" s="14">
        <f>C13*$D$9</f>
        <v/>
      </c>
    </row>
    <row r="14">
      <c r="A14" s="15" t="n"/>
      <c r="B14" s="16" t="inlineStr">
        <is>
          <t>✓  72 trang tiếng Anh, Việt, Trung; giao diện mới, hiệu ứng chuyển động</t>
        </is>
      </c>
      <c r="C14" s="15" t="n"/>
      <c r="D14" s="15" t="n"/>
      <c r="E14" s="15" t="n"/>
    </row>
    <row r="15">
      <c r="A15" s="15" t="n"/>
      <c r="B15" s="16" t="inlineStr">
        <is>
          <t>✓  Giữ lại từ web cũ: lịch đặt hẹn Koalendar ngay trên trang, 7 bài viết, thông tin vải, liên hệ</t>
        </is>
      </c>
      <c r="C15" s="15" t="n"/>
      <c r="D15" s="15" t="n"/>
      <c r="E15" s="15" t="n"/>
    </row>
    <row r="16">
      <c r="A16" s="15" t="n"/>
      <c r="B16" s="16" t="inlineStr">
        <is>
          <t>✓  Thêm mới: bảng giá, quy trình may, cửa hàng có bộ lọc, nút WhatsApp/Zalo, form gửi yêu cầu</t>
        </is>
      </c>
      <c r="C16" s="15" t="n"/>
      <c r="D16" s="15" t="n"/>
      <c r="E16" s="15" t="n"/>
    </row>
    <row r="17">
      <c r="A17" s="10" t="n">
        <v>2</v>
      </c>
      <c r="B17" s="11" t="inlineStr">
        <is>
          <t>Nội dung thật của Phan's</t>
        </is>
      </c>
      <c r="C17" s="12" t="n">
        <v>1</v>
      </c>
      <c r="D17" s="13">
        <f>$D$9</f>
        <v/>
      </c>
      <c r="E17" s="14">
        <f>C17*$D$9</f>
        <v/>
      </c>
    </row>
    <row r="18">
      <c r="A18" s="17" t="n"/>
      <c r="B18" s="18" t="inlineStr">
        <is>
          <t>•  Thay ảnh minh hoạ bằng ảnh thật của villa, anh chị, sản phẩm và vải</t>
        </is>
      </c>
      <c r="C18" s="17" t="n"/>
      <c r="D18" s="17" t="n"/>
      <c r="E18" s="17" t="n"/>
    </row>
    <row r="19">
      <c r="A19" s="17" t="n"/>
      <c r="B19" s="18" t="inlineStr">
        <is>
          <t>•  Bổ sung giá còn thiếu, năm thành lập, thời gian may, lịch nghỉ lễ</t>
        </is>
      </c>
      <c r="C19" s="17" t="n"/>
      <c r="D19" s="17" t="n"/>
      <c r="E19" s="17" t="n"/>
    </row>
    <row r="20">
      <c r="A20" s="10" t="n">
        <v>3</v>
      </c>
      <c r="B20" s="11" t="inlineStr">
        <is>
          <t>Cửa hàng trưng bày</t>
        </is>
      </c>
      <c r="C20" s="12" t="n">
        <v>0.5</v>
      </c>
      <c r="D20" s="13">
        <f>$D$9</f>
        <v/>
      </c>
      <c r="E20" s="14">
        <f>C20*$D$9</f>
        <v/>
      </c>
    </row>
    <row r="21">
      <c r="A21" s="17" t="n"/>
      <c r="B21" s="18" t="inlineStr">
        <is>
          <t>•  Sản phẩm thật: vải Nobility và đồ may sẵn, có bộ lọc</t>
        </is>
      </c>
      <c r="C21" s="17" t="n"/>
      <c r="D21" s="17" t="n"/>
      <c r="E21" s="17" t="n"/>
    </row>
    <row r="22">
      <c r="A22" s="17" t="n"/>
      <c r="B22" s="18" t="inlineStr">
        <is>
          <t>•  Khách xem rồi hỏi qua WhatsApp/Zalo hoặc đặt lịch; chưa có giỏ hàng và thanh toán online</t>
        </is>
      </c>
      <c r="C22" s="17" t="n"/>
      <c r="D22" s="17" t="n"/>
      <c r="E22" s="17" t="n"/>
    </row>
    <row r="23">
      <c r="A23" s="10" t="n">
        <v>4</v>
      </c>
      <c r="B23" s="11" t="inlineStr">
        <is>
          <t>Hoàn thiện ba ngôn ngữ</t>
        </is>
      </c>
      <c r="C23" s="12" t="n">
        <v>0.5</v>
      </c>
      <c r="D23" s="13">
        <f>$D$9</f>
        <v/>
      </c>
      <c r="E23" s="14">
        <f>C23*$D$9</f>
        <v/>
      </c>
    </row>
    <row r="24">
      <c r="A24" s="17" t="n"/>
      <c r="B24" s="18" t="inlineStr">
        <is>
          <t>•  Rà soát bản tiếng Anh, Việt, Trung; sửa theo góp ý của Phan's</t>
        </is>
      </c>
      <c r="C24" s="17" t="n"/>
      <c r="D24" s="17" t="n"/>
      <c r="E24" s="17" t="n"/>
    </row>
    <row r="25">
      <c r="A25" s="10" t="n">
        <v>5</v>
      </c>
      <c r="B25" s="11" t="inlineStr">
        <is>
          <t>Google và chuyển đổi từ web cũ</t>
        </is>
      </c>
      <c r="C25" s="12" t="n">
        <v>0.5</v>
      </c>
      <c r="D25" s="13">
        <f>$D$9</f>
        <v/>
      </c>
      <c r="E25" s="14">
        <f>C25*$D$9</f>
        <v/>
      </c>
    </row>
    <row r="26">
      <c r="A26" s="17" t="n"/>
      <c r="B26" s="18" t="inlineStr">
        <is>
          <t>•  Link cũ trên Google tự chuyển sang trang mới, không mất thứ hạng</t>
        </is>
      </c>
      <c r="C26" s="17" t="n"/>
      <c r="D26" s="17" t="n"/>
      <c r="E26" s="17" t="n"/>
    </row>
    <row r="27">
      <c r="A27" s="17" t="n"/>
      <c r="B27" s="18" t="inlineStr">
        <is>
          <t>•  Sitemap, gắn Google Business (Google Maps), đo lượt truy cập</t>
        </is>
      </c>
      <c r="C27" s="17" t="n"/>
      <c r="D27" s="17" t="n"/>
      <c r="E27" s="17" t="n"/>
    </row>
    <row r="28">
      <c r="A28" s="10" t="n">
        <v>6</v>
      </c>
      <c r="B28" s="11" t="inlineStr">
        <is>
          <t>Tích hợp phòng thử đồ AI (Anywear)</t>
        </is>
      </c>
      <c r="C28" s="12" t="n">
        <v>0.5</v>
      </c>
      <c r="D28" s="13">
        <f>$D$9</f>
        <v/>
      </c>
      <c r="E28" s="14">
        <f>C28*$D$9</f>
        <v/>
      </c>
    </row>
    <row r="29">
      <c r="A29" s="17" t="n"/>
      <c r="B29" s="18" t="inlineStr">
        <is>
          <t>•  Gắn phòng thử đồ vào ảnh sản phẩm, chọn sản phẩm hiển thị đẹp, thử trên điện thoại</t>
        </is>
      </c>
      <c r="C29" s="17" t="n"/>
      <c r="D29" s="17" t="n"/>
      <c r="E29" s="17" t="n"/>
    </row>
    <row r="30">
      <c r="A30" s="17" t="n"/>
      <c r="B30" s="18" t="inlineStr">
        <is>
          <t>•  Thông báo quyền riêng tư trước khi khách bật camera</t>
        </is>
      </c>
      <c r="C30" s="17" t="n"/>
      <c r="D30" s="17" t="n"/>
      <c r="E30" s="17" t="n"/>
    </row>
    <row r="31">
      <c r="A31" s="19" t="n"/>
      <c r="B31" s="20" t="inlineStr">
        <is>
          <t>▶  Phí sử dụng Anywear (nếu dùng bản trả phí) do Phan's trả trực tiếp cho Decart, không nằm trong báo giá này. Xem phụ lục.</t>
        </is>
      </c>
      <c r="C31" s="19" t="n"/>
      <c r="D31" s="19" t="n"/>
      <c r="E31" s="19" t="n"/>
    </row>
    <row r="32">
      <c r="A32" s="10" t="n">
        <v>7</v>
      </c>
      <c r="B32" s="11" t="inlineStr">
        <is>
          <t>Tên miền, hosting và ra mắt</t>
        </is>
      </c>
      <c r="C32" s="12" t="n">
        <v>0.5</v>
      </c>
      <c r="D32" s="13">
        <f>$D$9</f>
        <v/>
      </c>
      <c r="E32" s="14">
        <f>C32*$D$9</f>
        <v/>
      </c>
    </row>
    <row r="33">
      <c r="A33" s="17" t="n"/>
      <c r="B33" s="18" t="inlineStr">
        <is>
          <t>•  Cài đặt hosting, trỏ phanscustomtailor.com, chứng chỉ bảo mật https</t>
        </is>
      </c>
      <c r="C33" s="17" t="n"/>
      <c r="D33" s="17" t="n"/>
      <c r="E33" s="17" t="n"/>
    </row>
    <row r="34">
      <c r="A34" s="17" t="n"/>
      <c r="B34" s="18" t="inlineStr">
        <is>
          <t>•  Email info@phantailor.com giữ nguyên; web cũ chạy đến ngày chuyển</t>
        </is>
      </c>
      <c r="C34" s="17" t="n"/>
      <c r="D34" s="17" t="n"/>
      <c r="E34" s="17" t="n"/>
    </row>
    <row r="35">
      <c r="A35" s="10" t="n">
        <v>8</v>
      </c>
      <c r="B35" s="11" t="inlineStr">
        <is>
          <t>Kiểm tra và bàn giao</t>
        </is>
      </c>
      <c r="C35" s="12" t="n">
        <v>0.5</v>
      </c>
      <c r="D35" s="13">
        <f>$D$9</f>
        <v/>
      </c>
      <c r="E35" s="14">
        <f>C35*$D$9</f>
        <v/>
      </c>
    </row>
    <row r="36">
      <c r="A36" s="17" t="n"/>
      <c r="B36" s="18" t="inlineStr">
        <is>
          <t>•  Kiểm tra trên máy tính và điện thoại, sửa lỗi, hướng dẫn sử dụng</t>
        </is>
      </c>
      <c r="C36" s="17" t="n"/>
      <c r="D36" s="17" t="n"/>
      <c r="E36" s="17" t="n"/>
    </row>
    <row r="37">
      <c r="A37" s="21" t="inlineStr">
        <is>
          <t>Cộng — WEBSITE CHÍNH THỨC</t>
        </is>
      </c>
      <c r="B37" s="37" t="n"/>
      <c r="C37" s="23">
        <f>C13+C17+C20+C23+C25+C28+C32+C35</f>
        <v/>
      </c>
      <c r="D37" s="22" t="n"/>
      <c r="E37" s="24">
        <f>E13+E17+E20+E23+E25+E28+E32+E35</f>
        <v/>
      </c>
    </row>
    <row r="39" ht="20" customHeight="1">
      <c r="A39" s="25" t="inlineStr">
        <is>
          <t>TỔNG NGÀY CÔNG / CỘNG</t>
        </is>
      </c>
      <c r="B39" s="37" t="n"/>
      <c r="C39" s="26">
        <f>C37</f>
        <v/>
      </c>
      <c r="D39" s="22" t="n"/>
      <c r="E39" s="27">
        <f>E37</f>
        <v/>
      </c>
    </row>
    <row r="40" ht="20" customHeight="1">
      <c r="A40" s="28" t="inlineStr">
        <is>
          <t>ĐẶT CỌC 50% KHI XÁC NHẬN</t>
        </is>
      </c>
      <c r="B40" s="37" t="n"/>
      <c r="C40" s="29" t="n"/>
      <c r="D40" s="29" t="n"/>
      <c r="E40" s="30">
        <f>E39*0.5</f>
        <v/>
      </c>
    </row>
    <row r="41" ht="20" customHeight="1">
      <c r="A41" s="28" t="inlineStr">
        <is>
          <t>THANH TOÁN 50% KHI BÀN GIAO</t>
        </is>
      </c>
      <c r="B41" s="37" t="n"/>
      <c r="C41" s="29" t="n"/>
      <c r="D41" s="29" t="n"/>
      <c r="E41" s="30">
        <f>E39*0.5</f>
        <v/>
      </c>
    </row>
    <row r="42" ht="20" customHeight="1">
      <c r="A42" s="31" t="inlineStr">
        <is>
          <t>TỔNG GIÁ TRỊ DỰ ÁN</t>
        </is>
      </c>
      <c r="B42" s="37" t="n"/>
      <c r="C42" s="22" t="n"/>
      <c r="D42" s="22" t="n"/>
      <c r="E42" s="32">
        <f>E39</f>
        <v/>
      </c>
    </row>
    <row r="44">
      <c r="A44" s="33" t="inlineStr">
        <is>
          <t>Thời gian: khoảng 1 tuần làm việc, tính từ khi nhận đủ ảnh và thông tin.</t>
        </is>
      </c>
    </row>
    <row r="45">
      <c r="A45" s="33" t="inlineStr">
        <is>
          <t>Chưa gồm: phí gia hạn tên miền (Phan's đang tự trả), phí sử dụng phòng thử đồ AI, phí cổng thanh toán.</t>
        </is>
      </c>
    </row>
    <row r="46">
      <c r="A46" s="33" t="inlineStr">
        <is>
          <t>Phí hosting và bảo trì hằng năm: báo riêng.</t>
        </is>
      </c>
    </row>
    <row r="47">
      <c r="A47" s="33" t="inlineStr">
        <is>
          <t>Báo giá có hiệu lực 30 ngày.</t>
        </is>
      </c>
    </row>
    <row r="50" ht="22" customHeight="1">
      <c r="A50" s="8" t="inlineStr">
        <is>
          <t>GIAI ĐOẠN 2 — TUỲ CHỌN</t>
        </is>
      </c>
      <c r="B50" s="36" t="n"/>
      <c r="C50" s="36" t="n"/>
      <c r="D50" s="36" t="n"/>
      <c r="E50" s="37" t="n"/>
    </row>
    <row r="51" ht="18" customHeight="1">
      <c r="A51" s="34" t="inlineStr">
        <is>
          <t>GIAI ĐOẠN 2 — TUỲ CHỌN</t>
        </is>
      </c>
      <c r="B51" s="36" t="n"/>
      <c r="C51" s="36" t="n"/>
      <c r="D51" s="36" t="n"/>
      <c r="E51" s="37" t="n"/>
    </row>
    <row r="52">
      <c r="A52" s="10" t="n">
        <v>9</v>
      </c>
      <c r="B52" s="11" t="inlineStr">
        <is>
          <t>Bán hàng và thanh toán online</t>
        </is>
      </c>
      <c r="C52" s="12" t="n">
        <v>4</v>
      </c>
      <c r="D52" s="13">
        <f>$D$9</f>
        <v/>
      </c>
      <c r="E52" s="14">
        <f>C52*$D$9</f>
        <v/>
      </c>
    </row>
    <row r="53">
      <c r="A53" s="17" t="n"/>
      <c r="B53" s="18" t="inlineStr">
        <is>
          <t>•  Giỏ hàng, thanh toán, email xác nhận đơn hàng</t>
        </is>
      </c>
      <c r="C53" s="17" t="n"/>
      <c r="D53" s="17" t="n"/>
      <c r="E53" s="17" t="n"/>
    </row>
    <row r="54">
      <c r="A54" s="17" t="n"/>
      <c r="B54" s="18" t="inlineStr">
        <is>
          <t>•  Cổng thanh toán VNPay hoặc OnePay (Phan's đăng ký, phí giao dịch trả cho cổng thanh toán)</t>
        </is>
      </c>
      <c r="C54" s="17" t="n"/>
      <c r="D54" s="17" t="n"/>
      <c r="E54" s="17" t="n"/>
    </row>
    <row r="55">
      <c r="A55" s="10" t="n">
        <v>10</v>
      </c>
      <c r="B55" s="11" t="inlineStr">
        <is>
          <t>Trang trưng bày Web 3D</t>
        </is>
      </c>
      <c r="C55" s="12" t="n">
        <v>0.5</v>
      </c>
      <c r="D55" s="13">
        <f>$D$9</f>
        <v/>
      </c>
      <c r="E55" s="14">
        <f>C55*$D$9</f>
        <v/>
      </c>
    </row>
    <row r="56">
      <c r="A56" s="17" t="n"/>
      <c r="B56" s="18" t="inlineStr">
        <is>
          <t>•  Đặt trải nghiệm 3D của đội Web 3D vào một trang riêng trên website</t>
        </is>
      </c>
      <c r="C56" s="17" t="n"/>
      <c r="D56" s="17" t="n"/>
      <c r="E56" s="17" t="n"/>
    </row>
    <row r="57">
      <c r="A57" s="21" t="inlineStr">
        <is>
          <t>Cộng — GIAI ĐOẠN 2 — TUỲ CHỌN</t>
        </is>
      </c>
      <c r="B57" s="37" t="n"/>
      <c r="C57" s="23">
        <f>C52+C55</f>
        <v/>
      </c>
      <c r="D57" s="22" t="n"/>
      <c r="E57" s="24">
        <f>E52+E55</f>
        <v/>
      </c>
    </row>
    <row r="58">
      <c r="A58" s="33" t="inlineStr">
        <is>
          <t>Không nằm trong tổng giá trị dự án ở trên. Báo giá riêng, anh chị có thể chọn thêm bất cứ lúc nào.</t>
        </is>
      </c>
    </row>
    <row r="60" ht="20" customHeight="1">
      <c r="A60" s="25" t="inlineStr">
        <is>
          <t>TỔNG NẾU CHỌN THÊM GIAI ĐOẠN 2</t>
        </is>
      </c>
      <c r="B60" s="37" t="n"/>
      <c r="C60" s="26">
        <f>C39+C57</f>
        <v/>
      </c>
      <c r="D60" s="22" t="n"/>
      <c r="E60" s="27">
        <f>E39+E57</f>
        <v/>
      </c>
    </row>
  </sheetData>
  <mergeCells count="21">
    <mergeCell ref="A1:E1"/>
    <mergeCell ref="A2:E2"/>
    <mergeCell ref="B4:E4"/>
    <mergeCell ref="B5:E5"/>
    <mergeCell ref="B6:E6"/>
    <mergeCell ref="B7:E7"/>
    <mergeCell ref="A12:E12"/>
    <mergeCell ref="A37:B37"/>
    <mergeCell ref="A39:B39"/>
    <mergeCell ref="A40:B40"/>
    <mergeCell ref="A41:B41"/>
    <mergeCell ref="A42:B42"/>
    <mergeCell ref="A44:E44"/>
    <mergeCell ref="A45:E45"/>
    <mergeCell ref="A46:E46"/>
    <mergeCell ref="A47:E47"/>
    <mergeCell ref="A50:E50"/>
    <mergeCell ref="A51:E51"/>
    <mergeCell ref="A57:B57"/>
    <mergeCell ref="A58:E58"/>
    <mergeCell ref="A60:B60"/>
  </mergeCells>
  <printOptions horizontalCentered="1" gridLines="0"/>
  <pageMargins left="0.45" right="0.45" top="0.5" bottom="0.6" header="0.2" footer="0.3"/>
  <pageSetup orientation="portrait" paperSize="9" fitToHeight="0" fitToWidth="1"/>
  <headerFooter>
    <oddHeader/>
    <oddFooter>&amp;L&amp;8 &amp;K808080TheWebxite — Bao gia website Phan's&amp;R&amp;8 &amp;K808080Page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2026-10-23T09:53:31Z</dcterms:created>
  <dcterms:modified xmlns:dcterms="http://purl.org/dc/terms/" xmlns:xsi="http://www.w3.org/2001/XMLSchema-instance" xsi:type="dcterms:W3CDTF">2026-10-23T09:53:31Z</dcterms:modified>
</cp:coreProperties>
</file>